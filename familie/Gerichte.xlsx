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13cc8db6edc386b/Desktop/Arbeitsunterlagen/Privat/EXCEL Dokumente/"/>
    </mc:Choice>
  </mc:AlternateContent>
  <xr:revisionPtr revIDLastSave="850" documentId="11_39F75B462696D32D3F09A1C5D069AA5781B4583C" xr6:coauthVersionLast="47" xr6:coauthVersionMax="47" xr10:uidLastSave="{E9B0F0B5-C0A0-4178-ADC2-ADF8FA79A783}"/>
  <bookViews>
    <workbookView xWindow="-120" yWindow="-120" windowWidth="29040" windowHeight="15840" xr2:uid="{00000000-000D-0000-FFFF-FFFF00000000}"/>
  </bookViews>
  <sheets>
    <sheet name="Tabelle2" sheetId="10" r:id="rId1"/>
    <sheet name="Kinder" sheetId="11" r:id="rId2"/>
    <sheet name="Übersicht" sheetId="9" r:id="rId3"/>
    <sheet name="Fleisch" sheetId="1" r:id="rId4"/>
    <sheet name="Nudeln" sheetId="2" r:id="rId5"/>
    <sheet name="Suppen, Eintopf" sheetId="8" r:id="rId6"/>
    <sheet name="Auflauf" sheetId="3" r:id="rId7"/>
    <sheet name="Fisch" sheetId="4" r:id="rId8"/>
    <sheet name="Sonstiges" sheetId="6" r:id="rId9"/>
    <sheet name="Salat" sheetId="5" r:id="rId10"/>
  </sheets>
  <definedNames>
    <definedName name="_xlnm.Print_Area" localSheetId="0">Tabelle2!$A$21:$G$39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" i="10" l="1"/>
  <c r="E20" i="10"/>
  <c r="G19" i="10"/>
  <c r="F20" i="10" s="1"/>
  <c r="E19" i="10"/>
  <c r="D20" i="10" s="1"/>
  <c r="G18" i="10"/>
  <c r="F19" i="10" s="1"/>
  <c r="E18" i="10"/>
  <c r="D19" i="10" s="1"/>
  <c r="G17" i="10"/>
  <c r="F18" i="10" s="1"/>
  <c r="E17" i="10"/>
  <c r="D18" i="10" s="1"/>
  <c r="G16" i="10"/>
  <c r="F17" i="10" s="1"/>
  <c r="E16" i="10"/>
  <c r="D17" i="10" s="1"/>
  <c r="G15" i="10"/>
  <c r="F16" i="10" s="1"/>
  <c r="E15" i="10"/>
  <c r="D16" i="10" s="1"/>
  <c r="G14" i="10"/>
  <c r="F15" i="10" s="1"/>
  <c r="E14" i="10"/>
  <c r="D15" i="10" s="1"/>
  <c r="G4" i="10" l="1"/>
  <c r="F5" i="10" s="1"/>
  <c r="G5" i="10"/>
  <c r="F6" i="10" s="1"/>
  <c r="G6" i="10"/>
  <c r="F7" i="10" s="1"/>
  <c r="G7" i="10"/>
  <c r="F8" i="10" s="1"/>
  <c r="G8" i="10"/>
  <c r="F9" i="10" s="1"/>
  <c r="G9" i="10"/>
  <c r="F10" i="10" s="1"/>
  <c r="G10" i="10"/>
  <c r="E5" i="10"/>
  <c r="D6" i="10" s="1"/>
  <c r="E6" i="10"/>
  <c r="D7" i="10" s="1"/>
  <c r="E7" i="10"/>
  <c r="D8" i="10" s="1"/>
  <c r="E8" i="10"/>
  <c r="D9" i="10" s="1"/>
  <c r="E9" i="10"/>
  <c r="D10" i="10" s="1"/>
  <c r="E10" i="10"/>
  <c r="E4" i="10"/>
  <c r="D5" i="10" s="1"/>
</calcChain>
</file>

<file path=xl/sharedStrings.xml><?xml version="1.0" encoding="utf-8"?>
<sst xmlns="http://schemas.openxmlformats.org/spreadsheetml/2006/main" count="138" uniqueCount="71">
  <si>
    <t>Schweinefilet, Süßkartoffelpüree &amp; Lebkuchen</t>
  </si>
  <si>
    <t>Züricher Geschnetzeltes</t>
  </si>
  <si>
    <t>Spaghetti mit Garnelen</t>
  </si>
  <si>
    <t>Spaghetti Bolognese</t>
  </si>
  <si>
    <t>Lasagne</t>
  </si>
  <si>
    <t>Tortellini a la panna</t>
  </si>
  <si>
    <t>Maccaroni Spinat</t>
  </si>
  <si>
    <t xml:space="preserve">Spätzle Hähnchen </t>
  </si>
  <si>
    <t>Zucchini Hack Auflauf</t>
  </si>
  <si>
    <t>Schinkennudeln</t>
  </si>
  <si>
    <t>Garnelen</t>
  </si>
  <si>
    <t>gegrillte Dorade</t>
  </si>
  <si>
    <t>Salat mit  Putenbrust</t>
  </si>
  <si>
    <t>Salat mit Ziegenkäse</t>
  </si>
  <si>
    <t>Bratwurst, Kohlrabi und Kartoffelpüree</t>
  </si>
  <si>
    <t>Bratwurst mit Möhren und Kartoffeln</t>
  </si>
  <si>
    <t>Leberkäs</t>
  </si>
  <si>
    <t>Spinat</t>
  </si>
  <si>
    <t>Bauernfrühstück</t>
  </si>
  <si>
    <t>Massaman</t>
  </si>
  <si>
    <t>Bruchetta</t>
  </si>
  <si>
    <t>Thai Curry</t>
  </si>
  <si>
    <t xml:space="preserve">Frikadellen </t>
  </si>
  <si>
    <t xml:space="preserve">Hähnchenbrust mit Broccoli </t>
  </si>
  <si>
    <t>Möhren Ingwer Suppe</t>
  </si>
  <si>
    <t>Gemüsesuppe</t>
  </si>
  <si>
    <t xml:space="preserve">Chili con Carne </t>
  </si>
  <si>
    <t>Burger &amp; Pommes</t>
  </si>
  <si>
    <t>Salat mit Bratkartoffeln und Spiegelei</t>
  </si>
  <si>
    <t>Steak, Pommes, Mais</t>
  </si>
  <si>
    <t>Linsensuppe</t>
  </si>
  <si>
    <t>Weißen Bohnensuppe</t>
  </si>
  <si>
    <t>Hähnchenbrust, Mais, Reis</t>
  </si>
  <si>
    <t>Fisch, senfsauce, Kartoffeln, Salat</t>
  </si>
  <si>
    <t>Flickerklopse</t>
  </si>
  <si>
    <t>Hühnersuppe</t>
  </si>
  <si>
    <t>Wir</t>
  </si>
  <si>
    <t>Mittag</t>
  </si>
  <si>
    <t>Abend</t>
  </si>
  <si>
    <t>Kinder</t>
  </si>
  <si>
    <t>Rösti mit Apfelmus</t>
  </si>
  <si>
    <t>Nudeln mit Butter</t>
  </si>
  <si>
    <t>Fischstäbchen, Kartoffeln, Erbsen uns Möhren</t>
  </si>
  <si>
    <t>Risibisi</t>
  </si>
  <si>
    <t>Pizza</t>
  </si>
  <si>
    <t>Pfannekuchen</t>
  </si>
  <si>
    <t>Raclette</t>
  </si>
  <si>
    <t>Wraps</t>
  </si>
  <si>
    <t>Frikadellen</t>
  </si>
  <si>
    <t>Hähnchen von Lore</t>
  </si>
  <si>
    <t xml:space="preserve"> </t>
  </si>
  <si>
    <t>Montag</t>
  </si>
  <si>
    <t>Dienstag</t>
  </si>
  <si>
    <t>Mittwoch</t>
  </si>
  <si>
    <t>Donnerstag</t>
  </si>
  <si>
    <t>Freitag</t>
  </si>
  <si>
    <t>Samstag</t>
  </si>
  <si>
    <t>Sonntag</t>
  </si>
  <si>
    <t>Schnitzel, Kartoffeln</t>
  </si>
  <si>
    <t>Brotzeit</t>
  </si>
  <si>
    <t>Katja</t>
  </si>
  <si>
    <t>Abends: kleiner Salat</t>
  </si>
  <si>
    <t>Mittags: Tortilla</t>
  </si>
  <si>
    <t xml:space="preserve">Steak </t>
  </si>
  <si>
    <t>Frikadelle + Mörenuntereinander</t>
  </si>
  <si>
    <t>Grillen</t>
  </si>
  <si>
    <t>Fisch + Weißweinsauce</t>
  </si>
  <si>
    <t>Sandwiches</t>
  </si>
  <si>
    <t>Burger</t>
  </si>
  <si>
    <t>??</t>
  </si>
  <si>
    <t>Hot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</si>
</sst>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1" fillId="2" borderId="3" xfId="0" applyFont="1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9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9" xfId="0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4" fillId="0" borderId="10" xfId="0" applyFont="1" applyBorder="1"/>
    <xf numFmtId="0" fontId="4" fillId="0" borderId="0" xfId="0" applyFont="1"/>
    <xf numFmtId="0" fontId="4" fillId="0" borderId="0" xfId="0" applyFont="1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4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8F4C-A33B-4A68-A578-58355EB4C092}">
  <sheetPr>
    <pageSetUpPr fitToPage="1"/>
  </sheetPr>
  <dimension ref="B2:I38"/>
  <sheetViews>
    <sheetView tabSelected="1" topLeftCell="A10" workbookViewId="0">
      <selection activeCell="G39" sqref="A21:G39"/>
    </sheetView>
  </sheetViews>
  <sheetFormatPr baseColWidth="10" defaultRowHeight="15" x14ac:dyDescent="0.25"/>
  <cols>
    <col min="2" max="2" width="29.140625" bestFit="1" customWidth="1"/>
    <col min="3" max="3" width="1.85546875" customWidth="1"/>
    <col min="4" max="4" width="44.5703125" customWidth="1"/>
    <col min="5" max="5" width="47.5703125" bestFit="1" customWidth="1"/>
    <col min="6" max="6" width="41.28515625" bestFit="1" customWidth="1"/>
    <col min="7" max="7" width="42" bestFit="1" customWidth="1"/>
  </cols>
  <sheetData>
    <row r="2" spans="2:7" x14ac:dyDescent="0.25">
      <c r="D2" s="3" t="s">
        <v>36</v>
      </c>
      <c r="E2" s="2"/>
      <c r="F2" s="4" t="s">
        <v>39</v>
      </c>
      <c r="G2" s="2"/>
    </row>
    <row r="3" spans="2:7" x14ac:dyDescent="0.25">
      <c r="D3" s="6" t="s">
        <v>37</v>
      </c>
      <c r="E3" s="6" t="s">
        <v>38</v>
      </c>
      <c r="F3" s="8" t="s">
        <v>37</v>
      </c>
      <c r="G3" s="7" t="s">
        <v>38</v>
      </c>
    </row>
    <row r="4" spans="2:7" x14ac:dyDescent="0.25">
      <c r="B4" s="1">
        <v>44186</v>
      </c>
      <c r="D4" s="1"/>
      <c r="E4" t="str">
        <f ca="1">VLOOKUP(ROUNDUP(RAND()*35,0),Übersicht!$A$2:$B$37,2,2)</f>
        <v>Möhren Ingwer Suppe</v>
      </c>
      <c r="F4" s="5"/>
      <c r="G4" t="str">
        <f ca="1">VLOOKUP(ROUNDUP(RAND()*11,0),Kinder!$A$2:$B$12,2,2)</f>
        <v>Nudeln mit Butter</v>
      </c>
    </row>
    <row r="5" spans="2:7" x14ac:dyDescent="0.25">
      <c r="B5" s="1">
        <v>44187</v>
      </c>
      <c r="D5" t="str">
        <f ca="1">E4</f>
        <v>Möhren Ingwer Suppe</v>
      </c>
      <c r="E5" t="str">
        <f ca="1">VLOOKUP(ROUNDUP(RAND()*35,0),Übersicht!$A$2:$B$37,2,2)</f>
        <v>Zucchini Hack Auflauf</v>
      </c>
      <c r="F5" s="5" t="str">
        <f ca="1">G4</f>
        <v>Nudeln mit Butter</v>
      </c>
      <c r="G5" t="str">
        <f ca="1">VLOOKUP(ROUNDUP(RAND()*35,0),Kinder!$A$2:$B$12,2,2)</f>
        <v>Frikadellen</v>
      </c>
    </row>
    <row r="6" spans="2:7" x14ac:dyDescent="0.25">
      <c r="B6" s="1">
        <v>44188</v>
      </c>
      <c r="D6" t="str">
        <f t="shared" ref="D6:D10" ca="1" si="0">E5</f>
        <v>Zucchini Hack Auflauf</v>
      </c>
      <c r="E6" t="str">
        <f ca="1">VLOOKUP(ROUNDUP(RAND()*35,0),Übersicht!$A$2:$B$37,2,2)</f>
        <v>Steak, Pommes, Mais</v>
      </c>
      <c r="F6" s="5" t="str">
        <f t="shared" ref="F6:F10" ca="1" si="1">G5</f>
        <v>Frikadellen</v>
      </c>
      <c r="G6" t="str">
        <f ca="1">VLOOKUP(ROUNDUP(RAND()*35,0),Kinder!$A$2:$B$12,2,2)</f>
        <v>Frikadellen</v>
      </c>
    </row>
    <row r="7" spans="2:7" x14ac:dyDescent="0.25">
      <c r="B7" s="1">
        <v>44189</v>
      </c>
      <c r="D7" t="str">
        <f t="shared" ca="1" si="0"/>
        <v>Steak, Pommes, Mais</v>
      </c>
      <c r="E7" t="str">
        <f ca="1">VLOOKUP(ROUNDUP(RAND()*35,0),Übersicht!$A$2:$B$37,2,2)</f>
        <v>Bratwurst, Kohlrabi und Kartoffelpüree</v>
      </c>
      <c r="F7" s="5" t="str">
        <f t="shared" ca="1" si="1"/>
        <v>Frikadellen</v>
      </c>
      <c r="G7" t="str">
        <f ca="1">VLOOKUP(ROUNDUP(RAND()*35,0),Kinder!$A$2:$B$12,2,2)</f>
        <v>Frikadellen</v>
      </c>
    </row>
    <row r="8" spans="2:7" x14ac:dyDescent="0.25">
      <c r="B8" s="1">
        <v>44190</v>
      </c>
      <c r="D8" t="str">
        <f t="shared" ca="1" si="0"/>
        <v>Bratwurst, Kohlrabi und Kartoffelpüree</v>
      </c>
      <c r="E8" t="str">
        <f ca="1">VLOOKUP(ROUNDUP(RAND()*35,0),Übersicht!$A$2:$B$37,2,2)</f>
        <v>Burger &amp; Pommes</v>
      </c>
      <c r="F8" s="5" t="str">
        <f t="shared" ca="1" si="1"/>
        <v>Frikadellen</v>
      </c>
      <c r="G8" t="str">
        <f ca="1">VLOOKUP(ROUNDUP(RAND()*35,0),Kinder!$A$2:$B$12,2,2)</f>
        <v>Frikadellen</v>
      </c>
    </row>
    <row r="9" spans="2:7" x14ac:dyDescent="0.25">
      <c r="B9" s="1">
        <v>44191</v>
      </c>
      <c r="D9" t="str">
        <f t="shared" ca="1" si="0"/>
        <v>Burger &amp; Pommes</v>
      </c>
      <c r="E9" t="str">
        <f ca="1">VLOOKUP(ROUNDUP(RAND()*35,0),Übersicht!$A$2:$B$37,2,2)</f>
        <v>Thai Curry</v>
      </c>
      <c r="F9" s="5" t="str">
        <f t="shared" ca="1" si="1"/>
        <v>Frikadellen</v>
      </c>
      <c r="G9" t="str">
        <f ca="1">VLOOKUP(ROUNDUP(RAND()*35,0),Kinder!$A$2:$B$12,2,2)</f>
        <v>Frikadellen</v>
      </c>
    </row>
    <row r="10" spans="2:7" x14ac:dyDescent="0.25">
      <c r="B10" s="1">
        <v>44192</v>
      </c>
      <c r="D10" t="str">
        <f t="shared" ca="1" si="0"/>
        <v>Thai Curry</v>
      </c>
      <c r="E10" t="str">
        <f ca="1">VLOOKUP(ROUNDUP(RAND()*35,0),Übersicht!$A$2:$B$37,2,2)</f>
        <v xml:space="preserve">Spätzle Hähnchen </v>
      </c>
      <c r="F10" s="5" t="str">
        <f t="shared" ca="1" si="1"/>
        <v>Frikadellen</v>
      </c>
      <c r="G10" t="str">
        <f ca="1">VLOOKUP(ROUNDUP(RAND()*35,0),Kinder!$A$2:$B$12,2,2)</f>
        <v>Frikadellen</v>
      </c>
    </row>
    <row r="12" spans="2:7" x14ac:dyDescent="0.25">
      <c r="D12" t="s">
        <v>50</v>
      </c>
    </row>
    <row r="14" spans="2:7" x14ac:dyDescent="0.25">
      <c r="B14" s="1">
        <v>44186</v>
      </c>
      <c r="D14" s="1" t="s">
        <v>49</v>
      </c>
      <c r="E14" t="str">
        <f ca="1">VLOOKUP(ROUNDUP(RAND()*35,0),Übersicht!$A$2:$B$37,2,2)</f>
        <v>Fisch, senfsauce, Kartoffeln, Salat</v>
      </c>
      <c r="F14" s="5"/>
      <c r="G14" t="str">
        <f ca="1">VLOOKUP(ROUNDUP(RAND()*11,0),Kinder!$A$2:$B$12,2,2)</f>
        <v>Risibisi</v>
      </c>
    </row>
    <row r="15" spans="2:7" x14ac:dyDescent="0.25">
      <c r="B15" s="1">
        <v>44187</v>
      </c>
      <c r="D15" t="str">
        <f ca="1">E14</f>
        <v>Fisch, senfsauce, Kartoffeln, Salat</v>
      </c>
      <c r="E15" t="str">
        <f ca="1">VLOOKUP(ROUNDUP(RAND()*35,0),Übersicht!$A$2:$B$37,2,2)</f>
        <v>Bauernfrühstück</v>
      </c>
      <c r="F15" s="5" t="str">
        <f ca="1">G14</f>
        <v>Risibisi</v>
      </c>
      <c r="G15" t="str">
        <f ca="1">VLOOKUP(ROUNDUP(RAND()*35,0),Kinder!$A$2:$B$12,2,2)</f>
        <v>Frikadellen</v>
      </c>
    </row>
    <row r="16" spans="2:7" x14ac:dyDescent="0.25">
      <c r="B16" s="1">
        <v>44188</v>
      </c>
      <c r="D16" t="str">
        <f t="shared" ref="D16:D20" ca="1" si="2">E15</f>
        <v>Bauernfrühstück</v>
      </c>
      <c r="E16" t="str">
        <f ca="1">VLOOKUP(ROUNDUP(RAND()*35,0),Übersicht!$A$2:$B$37,2,2)</f>
        <v xml:space="preserve">Hähnchenbrust mit Broccoli </v>
      </c>
      <c r="F16" s="5" t="str">
        <f t="shared" ref="F16:F20" ca="1" si="3">G15</f>
        <v>Frikadellen</v>
      </c>
      <c r="G16" t="str">
        <f ca="1">VLOOKUP(ROUNDUP(RAND()*35,0),Kinder!$A$2:$B$12,2,2)</f>
        <v>Frikadellen</v>
      </c>
    </row>
    <row r="17" spans="2:9" x14ac:dyDescent="0.25">
      <c r="B17" s="1">
        <v>44189</v>
      </c>
      <c r="D17" t="str">
        <f t="shared" ca="1" si="2"/>
        <v xml:space="preserve">Hähnchenbrust mit Broccoli </v>
      </c>
      <c r="E17" t="str">
        <f ca="1">VLOOKUP(ROUNDUP(RAND()*35,0),Übersicht!$A$2:$B$37,2,2)</f>
        <v>Schweinefilet, Süßkartoffelpüree &amp; Lebkuchen</v>
      </c>
      <c r="F17" s="5" t="str">
        <f t="shared" ca="1" si="3"/>
        <v>Frikadellen</v>
      </c>
      <c r="G17" t="str">
        <f ca="1">VLOOKUP(ROUNDUP(RAND()*35,0),Kinder!$A$2:$B$12,2,2)</f>
        <v>Risibisi</v>
      </c>
    </row>
    <row r="18" spans="2:9" x14ac:dyDescent="0.25">
      <c r="B18" s="1">
        <v>44190</v>
      </c>
      <c r="D18" t="str">
        <f t="shared" ca="1" si="2"/>
        <v>Schweinefilet, Süßkartoffelpüree &amp; Lebkuchen</v>
      </c>
      <c r="E18" t="str">
        <f ca="1">VLOOKUP(ROUNDUP(RAND()*35,0),Übersicht!$A$2:$B$37,2,2)</f>
        <v>Schweinefilet, Süßkartoffelpüree &amp; Lebkuchen</v>
      </c>
      <c r="F18" s="5" t="str">
        <f t="shared" ca="1" si="3"/>
        <v>Risibisi</v>
      </c>
      <c r="G18" t="str">
        <f ca="1">VLOOKUP(ROUNDUP(RAND()*35,0),Kinder!$A$2:$B$12,2,2)</f>
        <v>Lasagne</v>
      </c>
    </row>
    <row r="19" spans="2:9" x14ac:dyDescent="0.25">
      <c r="B19" s="1">
        <v>44191</v>
      </c>
      <c r="D19" t="str">
        <f t="shared" ca="1" si="2"/>
        <v>Schweinefilet, Süßkartoffelpüree &amp; Lebkuchen</v>
      </c>
      <c r="E19" t="str">
        <f ca="1">VLOOKUP(ROUNDUP(RAND()*35,0),Übersicht!$A$2:$B$37,2,2)</f>
        <v>Lasagne</v>
      </c>
      <c r="F19" s="5" t="str">
        <f t="shared" ca="1" si="3"/>
        <v>Lasagne</v>
      </c>
      <c r="G19" t="str">
        <f ca="1">VLOOKUP(ROUNDUP(RAND()*35,0),Kinder!$A$2:$B$12,2,2)</f>
        <v>Frikadellen</v>
      </c>
    </row>
    <row r="20" spans="2:9" x14ac:dyDescent="0.25">
      <c r="B20" s="1">
        <v>44192</v>
      </c>
      <c r="D20" t="str">
        <f t="shared" ca="1" si="2"/>
        <v>Lasagne</v>
      </c>
      <c r="E20" t="str">
        <f ca="1">VLOOKUP(ROUNDUP(RAND()*35,0),Übersicht!$A$2:$B$37,2,2)</f>
        <v>Bruchetta</v>
      </c>
      <c r="F20" s="5" t="str">
        <f t="shared" ca="1" si="3"/>
        <v>Frikadellen</v>
      </c>
      <c r="G20" t="str">
        <f ca="1">VLOOKUP(ROUNDUP(RAND()*35,0),Kinder!$A$2:$B$12,2,2)</f>
        <v>Frikadellen</v>
      </c>
    </row>
    <row r="21" spans="2:9" ht="15.75" thickBot="1" x14ac:dyDescent="0.3"/>
    <row r="22" spans="2:9" x14ac:dyDescent="0.25">
      <c r="B22" s="17"/>
      <c r="C22" s="18"/>
      <c r="D22" s="10" t="s">
        <v>36</v>
      </c>
      <c r="E22" s="11"/>
      <c r="F22" s="12" t="s">
        <v>39</v>
      </c>
      <c r="G22" s="13"/>
    </row>
    <row r="23" spans="2:9" ht="15.75" thickBot="1" x14ac:dyDescent="0.3">
      <c r="B23" s="19"/>
      <c r="C23" s="20"/>
      <c r="D23" s="14" t="s">
        <v>37</v>
      </c>
      <c r="E23" s="14" t="s">
        <v>38</v>
      </c>
      <c r="F23" s="15" t="s">
        <v>37</v>
      </c>
      <c r="G23" s="16" t="s">
        <v>38</v>
      </c>
    </row>
    <row r="24" spans="2:9" x14ac:dyDescent="0.25">
      <c r="B24" s="25"/>
      <c r="C24" s="26"/>
      <c r="D24" s="26"/>
      <c r="E24" s="26"/>
      <c r="F24" s="26"/>
      <c r="G24" s="27"/>
    </row>
    <row r="25" spans="2:9" x14ac:dyDescent="0.25">
      <c r="B25" s="21" t="s">
        <v>51</v>
      </c>
      <c r="C25" s="30"/>
      <c r="D25" s="30"/>
      <c r="E25" s="30"/>
      <c r="F25" s="30"/>
      <c r="G25" s="22"/>
      <c r="I25" t="s">
        <v>60</v>
      </c>
    </row>
    <row r="26" spans="2:9" x14ac:dyDescent="0.25">
      <c r="B26" s="21" t="s">
        <v>52</v>
      </c>
      <c r="C26" s="30"/>
      <c r="D26" s="30"/>
      <c r="E26" s="30"/>
      <c r="F26" s="30"/>
      <c r="G26" s="22"/>
    </row>
    <row r="27" spans="2:9" x14ac:dyDescent="0.25">
      <c r="B27" s="21" t="s">
        <v>53</v>
      </c>
      <c r="C27" s="30"/>
      <c r="D27" s="30"/>
      <c r="E27" s="30" t="s">
        <v>34</v>
      </c>
      <c r="F27" s="30"/>
      <c r="G27" s="22"/>
    </row>
    <row r="28" spans="2:9" x14ac:dyDescent="0.25">
      <c r="B28" s="21" t="s">
        <v>54</v>
      </c>
      <c r="C28" s="30"/>
      <c r="D28" s="30"/>
      <c r="E28" s="30" t="s">
        <v>59</v>
      </c>
      <c r="F28" s="30"/>
      <c r="G28" s="22"/>
      <c r="I28" s="29" t="s">
        <v>61</v>
      </c>
    </row>
    <row r="29" spans="2:9" x14ac:dyDescent="0.25">
      <c r="B29" s="21" t="s">
        <v>55</v>
      </c>
      <c r="C29" s="30"/>
      <c r="D29" s="30" t="s">
        <v>34</v>
      </c>
      <c r="E29" s="30" t="s">
        <v>44</v>
      </c>
      <c r="F29" s="30"/>
      <c r="G29" s="22"/>
      <c r="I29" s="29" t="s">
        <v>62</v>
      </c>
    </row>
    <row r="30" spans="2:9" x14ac:dyDescent="0.25">
      <c r="B30" s="21" t="s">
        <v>56</v>
      </c>
      <c r="C30" s="30"/>
      <c r="D30" s="30" t="s">
        <v>44</v>
      </c>
      <c r="E30" s="30" t="s">
        <v>14</v>
      </c>
      <c r="F30" s="30"/>
      <c r="G30" s="22"/>
    </row>
    <row r="31" spans="2:9" ht="15.75" thickBot="1" x14ac:dyDescent="0.3">
      <c r="B31" s="23" t="s">
        <v>57</v>
      </c>
      <c r="C31" s="24"/>
      <c r="D31" s="24" t="s">
        <v>41</v>
      </c>
      <c r="E31" s="24" t="s">
        <v>63</v>
      </c>
      <c r="F31" s="24"/>
      <c r="G31" s="28"/>
    </row>
    <row r="32" spans="2:9" x14ac:dyDescent="0.25">
      <c r="B32" s="21" t="s">
        <v>51</v>
      </c>
      <c r="C32" s="31"/>
      <c r="D32" s="35" t="s">
        <v>67</v>
      </c>
      <c r="E32" s="35" t="s">
        <v>66</v>
      </c>
      <c r="F32" s="31"/>
      <c r="G32" s="32"/>
    </row>
    <row r="33" spans="2:7" x14ac:dyDescent="0.25">
      <c r="B33" s="21" t="s">
        <v>52</v>
      </c>
      <c r="C33" s="31"/>
      <c r="D33" s="35" t="s">
        <v>64</v>
      </c>
      <c r="E33" s="35" t="s">
        <v>47</v>
      </c>
      <c r="F33" s="31"/>
      <c r="G33" s="32"/>
    </row>
    <row r="34" spans="2:7" x14ac:dyDescent="0.25">
      <c r="B34" s="21" t="s">
        <v>53</v>
      </c>
      <c r="C34" s="31"/>
      <c r="D34" s="35" t="s">
        <v>70</v>
      </c>
      <c r="E34" s="35" t="s">
        <v>65</v>
      </c>
      <c r="F34" s="31"/>
      <c r="G34" s="32"/>
    </row>
    <row r="35" spans="2:7" x14ac:dyDescent="0.25">
      <c r="B35" s="21" t="s">
        <v>54</v>
      </c>
      <c r="C35" s="31"/>
      <c r="D35" s="35" t="s">
        <v>9</v>
      </c>
      <c r="E35" s="35" t="s">
        <v>59</v>
      </c>
      <c r="F35" s="31"/>
      <c r="G35" s="32"/>
    </row>
    <row r="36" spans="2:7" x14ac:dyDescent="0.25">
      <c r="B36" s="21" t="s">
        <v>55</v>
      </c>
      <c r="C36" s="31"/>
      <c r="D36" s="35" t="s">
        <v>32</v>
      </c>
      <c r="E36" s="35" t="s">
        <v>68</v>
      </c>
      <c r="F36" s="31"/>
      <c r="G36" s="32"/>
    </row>
    <row r="37" spans="2:7" x14ac:dyDescent="0.25">
      <c r="B37" s="21" t="s">
        <v>56</v>
      </c>
      <c r="C37" s="31"/>
      <c r="D37" s="35" t="s">
        <v>69</v>
      </c>
      <c r="E37" s="35" t="s">
        <v>69</v>
      </c>
      <c r="F37" s="31"/>
      <c r="G37" s="32"/>
    </row>
    <row r="38" spans="2:7" ht="15.75" thickBot="1" x14ac:dyDescent="0.3">
      <c r="B38" s="23" t="s">
        <v>57</v>
      </c>
      <c r="C38" s="33"/>
      <c r="D38" s="24" t="s">
        <v>41</v>
      </c>
      <c r="E38" s="24" t="s">
        <v>44</v>
      </c>
      <c r="F38" s="33" t="s">
        <v>50</v>
      </c>
      <c r="G38" s="34"/>
    </row>
  </sheetData>
  <phoneticPr fontId="2" type="noConversion"/>
  <pageMargins left="0.25" right="0.25" top="0.75" bottom="0.75" header="0.3" footer="0.3"/>
  <pageSetup paperSize="9" scale="65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2BD3-08E6-4807-AF5D-A306125B87B6}">
  <dimension ref="A2:B13"/>
  <sheetViews>
    <sheetView workbookViewId="0">
      <selection activeCell="C22" sqref="C22"/>
    </sheetView>
  </sheetViews>
  <sheetFormatPr baseColWidth="10" defaultRowHeight="15" x14ac:dyDescent="0.25"/>
  <sheetData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42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34</v>
      </c>
    </row>
    <row r="7" spans="1:2" x14ac:dyDescent="0.25">
      <c r="A7">
        <v>6</v>
      </c>
      <c r="B7" t="s">
        <v>44</v>
      </c>
    </row>
    <row r="8" spans="1:2" x14ac:dyDescent="0.25">
      <c r="A8">
        <v>7</v>
      </c>
      <c r="B8" t="s">
        <v>4</v>
      </c>
    </row>
    <row r="9" spans="1:2" x14ac:dyDescent="0.25">
      <c r="A9">
        <v>8</v>
      </c>
      <c r="B9" t="s">
        <v>45</v>
      </c>
    </row>
    <row r="10" spans="1:2" x14ac:dyDescent="0.25">
      <c r="A10">
        <v>9</v>
      </c>
      <c r="B10" t="s">
        <v>46</v>
      </c>
    </row>
    <row r="11" spans="1:2" x14ac:dyDescent="0.25">
      <c r="A11">
        <v>10</v>
      </c>
      <c r="B11" t="s">
        <v>47</v>
      </c>
    </row>
    <row r="12" spans="1:2" x14ac:dyDescent="0.25">
      <c r="A12">
        <v>11</v>
      </c>
      <c r="B12" t="s">
        <v>48</v>
      </c>
    </row>
    <row r="13" spans="1:2" x14ac:dyDescent="0.25">
      <c r="A13">
        <v>12</v>
      </c>
      <c r="B13" t="s">
        <v>42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3E32-7666-40B1-A3CC-C22C5ACF749D}">
  <dimension ref="A2:D37"/>
  <sheetViews>
    <sheetView workbookViewId="0">
      <selection activeCell="B5" sqref="B5"/>
    </sheetView>
  </sheetViews>
  <sheetFormatPr baseColWidth="10" defaultRowHeight="15" x14ac:dyDescent="0.25"/>
  <sheetData>
    <row r="2" spans="1:4" x14ac:dyDescent="0.25">
      <c r="A2" s="9">
        <v>1</v>
      </c>
      <c r="B2" s="9" t="s">
        <v>29</v>
      </c>
      <c r="C2" s="9"/>
      <c r="D2" s="9"/>
    </row>
    <row r="3" spans="1:4" x14ac:dyDescent="0.25">
      <c r="A3" s="9">
        <v>2</v>
      </c>
      <c r="B3" s="9" t="s">
        <v>0</v>
      </c>
      <c r="C3" s="9"/>
      <c r="D3" s="9"/>
    </row>
    <row r="4" spans="1:4" x14ac:dyDescent="0.25">
      <c r="A4" s="9">
        <v>3</v>
      </c>
      <c r="B4" s="9" t="s">
        <v>1</v>
      </c>
      <c r="C4" s="9"/>
      <c r="D4" s="9"/>
    </row>
    <row r="5" spans="1:4" x14ac:dyDescent="0.25">
      <c r="A5" s="9">
        <v>4</v>
      </c>
      <c r="B5" s="9" t="s">
        <v>14</v>
      </c>
      <c r="C5" s="9"/>
      <c r="D5" s="9"/>
    </row>
    <row r="6" spans="1:4" x14ac:dyDescent="0.25">
      <c r="A6" s="9">
        <v>5</v>
      </c>
      <c r="B6" s="9" t="s">
        <v>15</v>
      </c>
      <c r="C6" s="9"/>
      <c r="D6" s="9"/>
    </row>
    <row r="7" spans="1:4" x14ac:dyDescent="0.25">
      <c r="A7" s="9">
        <v>6</v>
      </c>
      <c r="B7" s="9" t="s">
        <v>16</v>
      </c>
      <c r="C7" s="9"/>
      <c r="D7" s="9"/>
    </row>
    <row r="8" spans="1:4" x14ac:dyDescent="0.25">
      <c r="A8" s="9">
        <v>7</v>
      </c>
      <c r="B8" s="9" t="s">
        <v>22</v>
      </c>
      <c r="C8" s="9"/>
      <c r="D8" s="9"/>
    </row>
    <row r="9" spans="1:4" x14ac:dyDescent="0.25">
      <c r="A9" s="9">
        <v>8</v>
      </c>
      <c r="B9" s="9" t="s">
        <v>23</v>
      </c>
      <c r="C9" s="9"/>
      <c r="D9" s="9"/>
    </row>
    <row r="10" spans="1:4" x14ac:dyDescent="0.25">
      <c r="A10" s="9">
        <v>9</v>
      </c>
      <c r="B10" s="9" t="s">
        <v>27</v>
      </c>
      <c r="C10" s="9"/>
      <c r="D10" s="9"/>
    </row>
    <row r="11" spans="1:4" x14ac:dyDescent="0.25">
      <c r="A11" s="9">
        <v>10</v>
      </c>
      <c r="B11" s="9" t="s">
        <v>32</v>
      </c>
      <c r="C11" s="9"/>
      <c r="D11" s="9"/>
    </row>
    <row r="12" spans="1:4" x14ac:dyDescent="0.25">
      <c r="A12" s="9">
        <v>11</v>
      </c>
      <c r="B12" s="9" t="s">
        <v>2</v>
      </c>
      <c r="C12" s="9"/>
      <c r="D12" s="9"/>
    </row>
    <row r="13" spans="1:4" x14ac:dyDescent="0.25">
      <c r="A13" s="9">
        <v>12</v>
      </c>
      <c r="B13" s="9" t="s">
        <v>3</v>
      </c>
      <c r="C13" s="9"/>
      <c r="D13" s="9"/>
    </row>
    <row r="14" spans="1:4" x14ac:dyDescent="0.25">
      <c r="A14" s="9">
        <v>13</v>
      </c>
      <c r="B14" s="9" t="s">
        <v>4</v>
      </c>
      <c r="C14" s="9"/>
      <c r="D14" s="9"/>
    </row>
    <row r="15" spans="1:4" x14ac:dyDescent="0.25">
      <c r="A15" s="9">
        <v>14</v>
      </c>
      <c r="B15" s="9" t="s">
        <v>5</v>
      </c>
      <c r="C15" s="9"/>
      <c r="D15" s="9"/>
    </row>
    <row r="16" spans="1:4" x14ac:dyDescent="0.25">
      <c r="A16" s="9">
        <v>15</v>
      </c>
      <c r="B16" s="9" t="s">
        <v>6</v>
      </c>
      <c r="C16" s="9"/>
      <c r="D16" s="9"/>
    </row>
    <row r="17" spans="1:4" x14ac:dyDescent="0.25">
      <c r="A17" s="9">
        <v>16</v>
      </c>
      <c r="B17" s="9" t="s">
        <v>9</v>
      </c>
      <c r="C17" s="9"/>
      <c r="D17" s="9"/>
    </row>
    <row r="18" spans="1:4" x14ac:dyDescent="0.25">
      <c r="A18" s="9">
        <v>17</v>
      </c>
      <c r="B18" s="9" t="s">
        <v>24</v>
      </c>
      <c r="C18" s="9"/>
      <c r="D18" s="9"/>
    </row>
    <row r="19" spans="1:4" x14ac:dyDescent="0.25">
      <c r="A19" s="9">
        <v>18</v>
      </c>
      <c r="B19" s="9" t="s">
        <v>25</v>
      </c>
      <c r="C19" s="9"/>
      <c r="D19" s="9"/>
    </row>
    <row r="20" spans="1:4" x14ac:dyDescent="0.25">
      <c r="A20" s="9">
        <v>19</v>
      </c>
      <c r="B20" s="9" t="s">
        <v>26</v>
      </c>
      <c r="C20" s="9"/>
      <c r="D20" s="9"/>
    </row>
    <row r="21" spans="1:4" x14ac:dyDescent="0.25">
      <c r="A21" s="9">
        <v>20</v>
      </c>
      <c r="B21" s="9" t="s">
        <v>30</v>
      </c>
      <c r="C21" s="9"/>
      <c r="D21" s="9"/>
    </row>
    <row r="22" spans="1:4" x14ac:dyDescent="0.25">
      <c r="A22" s="9">
        <v>21</v>
      </c>
      <c r="B22" s="9" t="s">
        <v>31</v>
      </c>
      <c r="C22" s="9"/>
      <c r="D22" s="9"/>
    </row>
    <row r="23" spans="1:4" x14ac:dyDescent="0.25">
      <c r="A23" s="9">
        <v>22</v>
      </c>
      <c r="B23" s="9" t="s">
        <v>7</v>
      </c>
      <c r="C23" s="9"/>
      <c r="D23" s="9"/>
    </row>
    <row r="24" spans="1:4" x14ac:dyDescent="0.25">
      <c r="A24" s="9">
        <v>23</v>
      </c>
      <c r="B24" s="9" t="s">
        <v>8</v>
      </c>
      <c r="C24" s="9"/>
      <c r="D24" s="9"/>
    </row>
    <row r="25" spans="1:4" x14ac:dyDescent="0.25">
      <c r="A25" s="9">
        <v>24</v>
      </c>
      <c r="B25" s="9" t="s">
        <v>10</v>
      </c>
      <c r="C25" s="9"/>
      <c r="D25" s="9"/>
    </row>
    <row r="26" spans="1:4" x14ac:dyDescent="0.25">
      <c r="A26" s="9">
        <v>25</v>
      </c>
      <c r="B26" s="9" t="s">
        <v>11</v>
      </c>
      <c r="C26" s="9"/>
      <c r="D26" s="9"/>
    </row>
    <row r="27" spans="1:4" x14ac:dyDescent="0.25">
      <c r="A27" s="9">
        <v>26</v>
      </c>
      <c r="B27" s="9" t="s">
        <v>33</v>
      </c>
      <c r="C27" s="9"/>
      <c r="D27" s="9"/>
    </row>
    <row r="28" spans="1:4" x14ac:dyDescent="0.25">
      <c r="A28" s="9">
        <v>27</v>
      </c>
      <c r="B28" s="9" t="s">
        <v>12</v>
      </c>
      <c r="C28" s="9"/>
      <c r="D28" s="9"/>
    </row>
    <row r="29" spans="1:4" x14ac:dyDescent="0.25">
      <c r="A29" s="9">
        <v>28</v>
      </c>
      <c r="B29" s="9" t="s">
        <v>13</v>
      </c>
      <c r="C29" s="9"/>
      <c r="D29" s="9"/>
    </row>
    <row r="30" spans="1:4" x14ac:dyDescent="0.25">
      <c r="A30" s="9">
        <v>29</v>
      </c>
      <c r="B30" s="9" t="s">
        <v>28</v>
      </c>
      <c r="C30" s="9"/>
      <c r="D30" s="9"/>
    </row>
    <row r="31" spans="1:4" x14ac:dyDescent="0.25">
      <c r="A31" s="9">
        <v>30</v>
      </c>
      <c r="B31" s="9" t="s">
        <v>17</v>
      </c>
      <c r="C31" s="9"/>
      <c r="D31" s="9"/>
    </row>
    <row r="32" spans="1:4" x14ac:dyDescent="0.25">
      <c r="A32" s="9">
        <v>31</v>
      </c>
      <c r="B32" s="9" t="s">
        <v>18</v>
      </c>
      <c r="C32" s="9"/>
      <c r="D32" s="9"/>
    </row>
    <row r="33" spans="1:4" x14ac:dyDescent="0.25">
      <c r="A33" s="9">
        <v>32</v>
      </c>
      <c r="B33" s="9" t="s">
        <v>19</v>
      </c>
      <c r="C33" s="9"/>
      <c r="D33" s="9"/>
    </row>
    <row r="34" spans="1:4" x14ac:dyDescent="0.25">
      <c r="A34" s="9">
        <v>33</v>
      </c>
      <c r="B34" s="9" t="s">
        <v>20</v>
      </c>
      <c r="C34" s="9"/>
      <c r="D34" s="9"/>
    </row>
    <row r="35" spans="1:4" x14ac:dyDescent="0.25">
      <c r="A35" s="9">
        <v>34</v>
      </c>
      <c r="B35" s="9" t="s">
        <v>21</v>
      </c>
      <c r="C35" s="9"/>
      <c r="D35" s="9"/>
    </row>
    <row r="36" spans="1:4" x14ac:dyDescent="0.25">
      <c r="A36" s="9">
        <v>35</v>
      </c>
      <c r="B36" s="9" t="s">
        <v>34</v>
      </c>
      <c r="C36" s="9"/>
      <c r="D36" s="9"/>
    </row>
    <row r="37" spans="1:4" x14ac:dyDescent="0.25">
      <c r="A37" s="9">
        <v>36</v>
      </c>
      <c r="B37" s="9" t="s">
        <v>35</v>
      </c>
      <c r="C37" s="9"/>
      <c r="D37" s="9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3"/>
  <sheetViews>
    <sheetView workbookViewId="0">
      <selection activeCell="A14" sqref="A14"/>
    </sheetView>
  </sheetViews>
  <sheetFormatPr baseColWidth="10" defaultRowHeight="15" x14ac:dyDescent="0.25"/>
  <sheetData>
    <row r="3" spans="1:1" x14ac:dyDescent="0.25">
      <c r="A3" t="s">
        <v>29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27</v>
      </c>
    </row>
    <row r="12" spans="1:1" x14ac:dyDescent="0.25">
      <c r="A12" t="s">
        <v>32</v>
      </c>
    </row>
    <row r="13" spans="1:1" x14ac:dyDescent="0.25">
      <c r="A13" t="s">
        <v>58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8"/>
  <sheetViews>
    <sheetView workbookViewId="0">
      <selection activeCell="A3" sqref="A3:A8"/>
    </sheetView>
  </sheetViews>
  <sheetFormatPr baseColWidth="10" defaultRowHeight="15" x14ac:dyDescent="0.25"/>
  <sheetData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7"/>
  <sheetViews>
    <sheetView workbookViewId="0">
      <selection activeCell="A3" sqref="A3:A7"/>
    </sheetView>
  </sheetViews>
  <sheetFormatPr baseColWidth="10" defaultRowHeight="15" x14ac:dyDescent="0.25"/>
  <sheetData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30</v>
      </c>
    </row>
    <row r="7" spans="1:1" x14ac:dyDescent="0.25">
      <c r="A7" t="s">
        <v>31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4"/>
  <sheetViews>
    <sheetView workbookViewId="0">
      <selection activeCell="A3" sqref="A3:A4"/>
    </sheetView>
  </sheetViews>
  <sheetFormatPr baseColWidth="10" defaultRowHeight="15" x14ac:dyDescent="0.25"/>
  <sheetData>
    <row r="3" spans="1:1" x14ac:dyDescent="0.25">
      <c r="A3" t="s">
        <v>7</v>
      </c>
    </row>
    <row r="4" spans="1:1" x14ac:dyDescent="0.25">
      <c r="A4" t="s">
        <v>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5"/>
  <sheetViews>
    <sheetView workbookViewId="0">
      <selection activeCell="A3" sqref="A3:A5"/>
    </sheetView>
  </sheetViews>
  <sheetFormatPr baseColWidth="10" defaultRowHeight="15" x14ac:dyDescent="0.25"/>
  <sheetData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33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8"/>
  <sheetViews>
    <sheetView workbookViewId="0">
      <selection activeCell="E34" sqref="E34"/>
    </sheetView>
  </sheetViews>
  <sheetFormatPr baseColWidth="10" defaultRowHeight="15" x14ac:dyDescent="0.25"/>
  <cols>
    <col min="1" max="1" width="15.5703125" bestFit="1" customWidth="1"/>
  </cols>
  <sheetData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46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5"/>
  <sheetViews>
    <sheetView workbookViewId="0">
      <selection activeCell="A3" sqref="A3:A5"/>
    </sheetView>
  </sheetViews>
  <sheetFormatPr baseColWidth="10" defaultRowHeight="15" x14ac:dyDescent="0.25"/>
  <sheetData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Tabelle2</vt:lpstr>
      <vt:lpstr>Kinder</vt:lpstr>
      <vt:lpstr>Übersicht</vt:lpstr>
      <vt:lpstr>Fleisch</vt:lpstr>
      <vt:lpstr>Nudeln</vt:lpstr>
      <vt:lpstr>Suppen, Eintopf</vt:lpstr>
      <vt:lpstr>Auflauf</vt:lpstr>
      <vt:lpstr>Fisch</vt:lpstr>
      <vt:lpstr>Sonstiges</vt:lpstr>
      <vt:lpstr>Salat</vt:lpstr>
      <vt:lpstr>Tabelle2!Druckbereich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Witschel</dc:creator>
  <cp:lastModifiedBy>Thomas Witschel</cp:lastModifiedBy>
  <cp:lastPrinted>2024-07-24T09:28:00Z</cp:lastPrinted>
  <dcterms:created xsi:type="dcterms:W3CDTF">2016-02-14T18:24:48Z</dcterms:created>
  <dcterms:modified xsi:type="dcterms:W3CDTF">2024-07-24T09:28:08Z</dcterms:modified>
</cp:coreProperties>
</file>